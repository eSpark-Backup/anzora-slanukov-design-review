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anzoraslanukov-designreview\Design Files\QuickSwitchV5-v1.2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4" i="1" l="1"/>
  <c r="B33" i="1" l="1"/>
  <c r="B32" i="1" l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<sst xmlns="http://schemas.openxmlformats.org/spreadsheetml/2006/main" count="240" uniqueCount="172">
  <si>
    <t>#</t>
  </si>
  <si>
    <t>Item Type</t>
  </si>
  <si>
    <t>Capacitors</t>
  </si>
  <si>
    <t>Diode</t>
  </si>
  <si>
    <t>Connector</t>
  </si>
  <si>
    <t>Inductors</t>
  </si>
  <si>
    <t>Inductor</t>
  </si>
  <si>
    <t>LED</t>
  </si>
  <si>
    <t>Mosfet</t>
  </si>
  <si>
    <t>Resistor</t>
  </si>
  <si>
    <t>Switch</t>
  </si>
  <si>
    <t>IC</t>
  </si>
  <si>
    <t>Crystals</t>
  </si>
  <si>
    <t>Crystal</t>
  </si>
  <si>
    <t>Designator</t>
  </si>
  <si>
    <t>ANT1</t>
  </si>
  <si>
    <t>C1, C2</t>
  </si>
  <si>
    <t>C3</t>
  </si>
  <si>
    <t>C4, C8, C9, C10</t>
  </si>
  <si>
    <t>C5</t>
  </si>
  <si>
    <t>C6, C7</t>
  </si>
  <si>
    <t>C11</t>
  </si>
  <si>
    <t>C12</t>
  </si>
  <si>
    <t>C13</t>
  </si>
  <si>
    <t>C14</t>
  </si>
  <si>
    <t>C15</t>
  </si>
  <si>
    <t>D1</t>
  </si>
  <si>
    <t>D2</t>
  </si>
  <si>
    <t>J1</t>
  </si>
  <si>
    <t>J2</t>
  </si>
  <si>
    <t>L1, L2</t>
  </si>
  <si>
    <t>L3</t>
  </si>
  <si>
    <t>LED1</t>
  </si>
  <si>
    <t>Q1</t>
  </si>
  <si>
    <t>Q2</t>
  </si>
  <si>
    <t>R1</t>
  </si>
  <si>
    <t>R2</t>
  </si>
  <si>
    <t>R3, R4, R7, R9</t>
  </si>
  <si>
    <t>R5, R8</t>
  </si>
  <si>
    <t>R6</t>
  </si>
  <si>
    <t>SW1</t>
  </si>
  <si>
    <t>U1</t>
  </si>
  <si>
    <t>U2</t>
  </si>
  <si>
    <t>X1</t>
  </si>
  <si>
    <t>X2</t>
  </si>
  <si>
    <t>Description</t>
  </si>
  <si>
    <t>RF ANT 2.4GHZ CHIP SOLDER SMD</t>
  </si>
  <si>
    <t>CAP CER 13PF 50V C0G/NP0 0402</t>
  </si>
  <si>
    <t>CAP CER 4.7UF 25V X5R 0603</t>
  </si>
  <si>
    <t>CAP CER 0.1UF 50V X7R 0402</t>
  </si>
  <si>
    <t>CAP CER 1UF 16V X5R 0402</t>
  </si>
  <si>
    <t>CAP CER 10PF 50V C0G/NP0 0402</t>
  </si>
  <si>
    <t>CAP CER 100PF 50V C0G/NP0 0402</t>
  </si>
  <si>
    <t>CAP CER 2.2PF 50V C0G/NP0 0402</t>
  </si>
  <si>
    <t>CAP CER 0.8PF 50V C0G/NPO 0402</t>
  </si>
  <si>
    <t>CAP CER 0.1UF 50V Y5V 0603</t>
  </si>
  <si>
    <t>10V 10uF X5R ±10% 0603 Multilayer Ceramic Capacitors MLCC - SMD/SMT ROHS</t>
  </si>
  <si>
    <t>40V Independent Type 1A 550mV@1A SMA(DO-214AC) Schottky Diodes ROHS</t>
  </si>
  <si>
    <t>6A 80W 10V 3.7V Bidirectional 3.3V SOD-923 ESD and Surge Protection (TVS/ESD) ROHS</t>
  </si>
  <si>
    <t>Battery base CR2032 SMD Battery Connectors ROHS</t>
  </si>
  <si>
    <t>FIXED IND 3.9NH 350MA 350MOHM SM</t>
  </si>
  <si>
    <t>FIXED IND 2.7NH 500MA 200MOHM SM</t>
  </si>
  <si>
    <t>20mA 300mcd Colorless Transparent Lens -20℃~+85℃ Positive Stick 455nm~475nm Blue 120° 70mW 3.3V 0603 LED Indication - Discrete ROHS</t>
  </si>
  <si>
    <t>Trans Mosfet P-ch 30V 4A 3-PIN SOT-23 T/r</t>
  </si>
  <si>
    <t>MOSFET N-CH 50V 200MA SOT-23</t>
  </si>
  <si>
    <t>100mW Thick Film Resistors 75V ±100ppm/℃ ±1% 330Ω 0603 Chip Resistor - Surface Mount ROHS</t>
  </si>
  <si>
    <t>100mW Thick Film Resistors ±100ppm/℃ ±1% 1MΩ 0603 Chip Resistor - Surface Mount ROHS</t>
  </si>
  <si>
    <t>RES SMD 10K OHM 0.5% 1/16W 0402</t>
  </si>
  <si>
    <t>RES 4.7K OHM 1% 1/16W 0402</t>
  </si>
  <si>
    <t>RES 470 OHM 1% 1/10W 0603</t>
  </si>
  <si>
    <t>None Without bracket 50mA 5.1mm 100000 Times 160gf 12V 5.1mm 1.5mm Round Button Standing paste SPST SMD Tactile Switches ROHS</t>
  </si>
  <si>
    <t>IC RF TXRX+MCU BLE 48QFN</t>
  </si>
  <si>
    <t>ACCEL 2-16G I2C/SPI 12LGA</t>
  </si>
  <si>
    <t>32.768kHz Surface Mount Crystal 12.5pF ±20ppm SMD3215-2P Crystals ROHS</t>
  </si>
  <si>
    <t>32MHz Surface Mount Crystal 12pF ±10ppm ±10ppm SMD2016-4P Crystals ROHS</t>
  </si>
  <si>
    <t>Footprint</t>
  </si>
  <si>
    <t>ANT-1206</t>
  </si>
  <si>
    <t>Cap-0402</t>
  </si>
  <si>
    <t>Cap-0603</t>
  </si>
  <si>
    <t>cap-0402</t>
  </si>
  <si>
    <t>SMA(DO-214AC)</t>
  </si>
  <si>
    <t>SOD-923.</t>
  </si>
  <si>
    <t>CR2032-BS-6-1</t>
  </si>
  <si>
    <t>IND-0201</t>
  </si>
  <si>
    <t>LED-0603</t>
  </si>
  <si>
    <t>SOT-23</t>
  </si>
  <si>
    <t>Res-0603</t>
  </si>
  <si>
    <t>Res-0402</t>
  </si>
  <si>
    <t>TS-1187A-B-A-B</t>
  </si>
  <si>
    <t>QFN-48-EP(6x6)</t>
  </si>
  <si>
    <t>12-LGA (2x2)</t>
  </si>
  <si>
    <t>SMD3215-2P</t>
  </si>
  <si>
    <t>SMD2016-4P</t>
  </si>
  <si>
    <t>Manufacturer Part Number</t>
  </si>
  <si>
    <t>2450AT18B100E</t>
  </si>
  <si>
    <t>CC0402FRNPO9BN130</t>
  </si>
  <si>
    <t>GRM188R61E475KE11D</t>
  </si>
  <si>
    <t>C1005X7R1H104KT000F</t>
  </si>
  <si>
    <t>CC0402KRX5R7BB105</t>
  </si>
  <si>
    <t>GRM1555C1H100JA01D</t>
  </si>
  <si>
    <t>04025A101JAT2A</t>
  </si>
  <si>
    <t>GRM1555C1H2R2BA01D</t>
  </si>
  <si>
    <t>CC0402BRNPO9BNR80</t>
  </si>
  <si>
    <t>CC0603ZRY5V9BB104</t>
  </si>
  <si>
    <t>CGA0603X5R106K100JT</t>
  </si>
  <si>
    <t>SS14</t>
  </si>
  <si>
    <t>ESD9B3.3ST5G-ES</t>
  </si>
  <si>
    <t>LQP03TG3N9B02D</t>
  </si>
  <si>
    <t>LQP03TN2N7B02D</t>
  </si>
  <si>
    <t>XL-1608UBC-04</t>
  </si>
  <si>
    <t>AO3401A</t>
  </si>
  <si>
    <t>BSS138LT1G</t>
  </si>
  <si>
    <t>0603WAF3300T5E</t>
  </si>
  <si>
    <t>RE0402DRE0710KL</t>
  </si>
  <si>
    <t>RC0402FR-074K7L</t>
  </si>
  <si>
    <t>RC0603FR-07470RL</t>
  </si>
  <si>
    <t>NRF52832-QFAA-R</t>
  </si>
  <si>
    <t>LIS2DW12TR</t>
  </si>
  <si>
    <t>Q13FC13500004</t>
  </si>
  <si>
    <t>TAXM32M4ZFBCCT2T</t>
  </si>
  <si>
    <t>Manufacturer</t>
  </si>
  <si>
    <t>Johanson</t>
  </si>
  <si>
    <t>Yageo</t>
  </si>
  <si>
    <t>Murata</t>
  </si>
  <si>
    <t>TDK</t>
  </si>
  <si>
    <t>Kyocera AVX</t>
  </si>
  <si>
    <t>HRE</t>
  </si>
  <si>
    <t>MDD(Microdiode Semiconductor)</t>
  </si>
  <si>
    <t>ElecSuper</t>
  </si>
  <si>
    <t>Q&amp;J</t>
  </si>
  <si>
    <t>XINGLIGHT</t>
  </si>
  <si>
    <t>Alpha &amp; Omega Semiconductor</t>
  </si>
  <si>
    <t>ON Semiconductor</t>
  </si>
  <si>
    <t>Royal Electronic Factory</t>
  </si>
  <si>
    <t>UNI-ROYAL(Uniroyal Elec)</t>
  </si>
  <si>
    <t>XKB</t>
  </si>
  <si>
    <t>Nordic Semiconductor</t>
  </si>
  <si>
    <t>STMicroelectronics</t>
  </si>
  <si>
    <t>Epson</t>
  </si>
  <si>
    <t>Yajingxin</t>
  </si>
  <si>
    <t>DNP</t>
  </si>
  <si>
    <t>4.7uF</t>
  </si>
  <si>
    <t>100nF</t>
  </si>
  <si>
    <t>1uF</t>
  </si>
  <si>
    <t>10pF</t>
  </si>
  <si>
    <t>100pF</t>
  </si>
  <si>
    <t>2.2pF</t>
  </si>
  <si>
    <t>0.8pF</t>
  </si>
  <si>
    <t>0.1uF</t>
  </si>
  <si>
    <t>10uF</t>
  </si>
  <si>
    <t>3.9nH</t>
  </si>
  <si>
    <t>330R</t>
  </si>
  <si>
    <t>1M</t>
  </si>
  <si>
    <t>10K</t>
  </si>
  <si>
    <t>4.7K</t>
  </si>
  <si>
    <t>470R</t>
  </si>
  <si>
    <t>Quantity</t>
  </si>
  <si>
    <t>Peripheral</t>
  </si>
  <si>
    <t>-</t>
  </si>
  <si>
    <t>Custom</t>
  </si>
  <si>
    <t>DO NOT PLACE</t>
  </si>
  <si>
    <t>Tag-Connect LLC</t>
  </si>
  <si>
    <t>Value</t>
  </si>
  <si>
    <t>Remarks</t>
  </si>
  <si>
    <t>Antenna</t>
  </si>
  <si>
    <t>0603WAF1004T5E</t>
  </si>
  <si>
    <t>CR2032</t>
  </si>
  <si>
    <t>BATTERY LITHIUM 3V COIN 20MM</t>
  </si>
  <si>
    <t>TC2030-IDC-NL</t>
  </si>
  <si>
    <t>“No Legs” 6-pin Plug-of-Nails™ Cable fitted with a 6-pin 0.1″ pitch ribbon connector</t>
  </si>
  <si>
    <t>Tag Connect</t>
  </si>
  <si>
    <t>Aliexpress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</si>
</sst>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9" fillId="2" borderId="7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vi.aliexpress.com/item/1005007515412606.html?spm=a2g0o.productlist.main.61.23bfIFfdIFfdqT&amp;algo_pvid=68407ee4-d036-45b6-9189-40f9f5bf1689&amp;algo_exp_id=68407ee4-d036-45b6-9189-40f9f5bf1689-30&amp;pdp_ext_f=%7B%22order%22%3A%224%22%2C%22eval%22%3A%221%22%25" TargetMode="External"/><Relationship Id="rId1" Type="http://schemas.openxmlformats.org/officeDocument/2006/relationships/hyperlink" Target="https://www.tag-connect.com/product/tc2030-idc-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4"/>
  <sheetViews>
    <sheetView tabSelected="1" topLeftCell="A13" workbookViewId="0">
      <selection activeCell="F14" sqref="F1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29.42578125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22"/>
      <c r="J1" s="22"/>
      <c r="K1" s="22"/>
    </row>
    <row r="2" spans="1:11" ht="15.75" thickBot="1" x14ac:dyDescent="0.3">
      <c r="A2" s="1"/>
      <c r="B2" s="5" t="s">
        <v>0</v>
      </c>
      <c r="C2" s="5" t="s">
        <v>1</v>
      </c>
      <c r="D2" s="5" t="s">
        <v>14</v>
      </c>
      <c r="E2" s="6" t="s">
        <v>45</v>
      </c>
      <c r="F2" s="5" t="s">
        <v>75</v>
      </c>
      <c r="G2" s="6" t="s">
        <v>93</v>
      </c>
      <c r="H2" s="5" t="s">
        <v>120</v>
      </c>
      <c r="I2" s="6" t="s">
        <v>162</v>
      </c>
      <c r="J2" s="5" t="s">
        <v>156</v>
      </c>
      <c r="K2" s="5" t="s">
        <v>163</v>
      </c>
    </row>
    <row r="3" spans="1:11" ht="15.75" thickBot="1" x14ac:dyDescent="0.3">
      <c r="A3" s="1"/>
      <c r="B3" s="11">
        <f>ROW(B3) - ROW($B$2)</f>
        <v>1</v>
      </c>
      <c r="C3" s="13" t="s">
        <v>164</v>
      </c>
      <c r="D3" s="7" t="s">
        <v>15</v>
      </c>
      <c r="E3" s="8" t="s">
        <v>46</v>
      </c>
      <c r="F3" s="7" t="s">
        <v>76</v>
      </c>
      <c r="G3" s="8" t="s">
        <v>94</v>
      </c>
      <c r="H3" s="7" t="s">
        <v>121</v>
      </c>
      <c r="I3" s="8" t="s">
        <v>158</v>
      </c>
      <c r="J3" s="7">
        <v>1</v>
      </c>
      <c r="K3" s="7"/>
    </row>
    <row r="4" spans="1:11" ht="15.75" thickBot="1" x14ac:dyDescent="0.3">
      <c r="A4" s="1"/>
      <c r="B4" s="11">
        <f t="shared" ref="B4:B34" si="0">ROW(B4) - ROW($B$2)</f>
        <v>2</v>
      </c>
      <c r="C4" s="13" t="s">
        <v>2</v>
      </c>
      <c r="D4" s="16" t="s">
        <v>16</v>
      </c>
      <c r="E4" s="20" t="s">
        <v>47</v>
      </c>
      <c r="F4" s="16" t="s">
        <v>77</v>
      </c>
      <c r="G4" s="20" t="s">
        <v>95</v>
      </c>
      <c r="H4" s="16" t="s">
        <v>122</v>
      </c>
      <c r="I4" s="20" t="s">
        <v>140</v>
      </c>
      <c r="J4" s="16">
        <v>2</v>
      </c>
      <c r="K4" s="16" t="s">
        <v>160</v>
      </c>
    </row>
    <row r="5" spans="1:11" ht="15.75" thickBot="1" x14ac:dyDescent="0.3">
      <c r="A5" s="1"/>
      <c r="B5" s="11">
        <f>ROW(B5) - ROW($B$2)</f>
        <v>3</v>
      </c>
      <c r="C5" s="13" t="s">
        <v>2</v>
      </c>
      <c r="D5" s="7" t="s">
        <v>17</v>
      </c>
      <c r="E5" s="8" t="s">
        <v>48</v>
      </c>
      <c r="F5" s="7" t="s">
        <v>78</v>
      </c>
      <c r="G5" s="8" t="s">
        <v>96</v>
      </c>
      <c r="H5" s="7" t="s">
        <v>123</v>
      </c>
      <c r="I5" s="8" t="s">
        <v>141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2</v>
      </c>
      <c r="D6" s="9" t="s">
        <v>18</v>
      </c>
      <c r="E6" s="10" t="s">
        <v>49</v>
      </c>
      <c r="F6" s="9" t="s">
        <v>79</v>
      </c>
      <c r="G6" s="10" t="s">
        <v>97</v>
      </c>
      <c r="H6" s="9" t="s">
        <v>124</v>
      </c>
      <c r="I6" s="10" t="s">
        <v>142</v>
      </c>
      <c r="J6" s="9">
        <v>4</v>
      </c>
      <c r="K6" s="9"/>
    </row>
    <row r="7" spans="1:11" ht="15.75" thickBot="1" x14ac:dyDescent="0.3">
      <c r="A7" s="1"/>
      <c r="B7" s="11">
        <f>ROW(B7) - ROW($B$2)</f>
        <v>5</v>
      </c>
      <c r="C7" s="13" t="s">
        <v>2</v>
      </c>
      <c r="D7" s="7" t="s">
        <v>19</v>
      </c>
      <c r="E7" s="8" t="s">
        <v>50</v>
      </c>
      <c r="F7" s="7" t="s">
        <v>77</v>
      </c>
      <c r="G7" s="8" t="s">
        <v>98</v>
      </c>
      <c r="H7" s="7" t="s">
        <v>122</v>
      </c>
      <c r="I7" s="8" t="s">
        <v>143</v>
      </c>
      <c r="J7" s="7">
        <v>1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20</v>
      </c>
      <c r="E8" s="10" t="s">
        <v>51</v>
      </c>
      <c r="F8" s="9" t="s">
        <v>77</v>
      </c>
      <c r="G8" s="10" t="s">
        <v>99</v>
      </c>
      <c r="H8" s="9" t="s">
        <v>123</v>
      </c>
      <c r="I8" s="10" t="s">
        <v>144</v>
      </c>
      <c r="J8" s="9">
        <v>2</v>
      </c>
      <c r="K8" s="9"/>
    </row>
    <row r="9" spans="1:11" ht="15.75" thickBot="1" x14ac:dyDescent="0.3">
      <c r="A9" s="1"/>
      <c r="B9" s="11">
        <f>ROW(B9) - ROW($B$2)</f>
        <v>7</v>
      </c>
      <c r="C9" s="13" t="s">
        <v>2</v>
      </c>
      <c r="D9" s="7" t="s">
        <v>21</v>
      </c>
      <c r="E9" s="8" t="s">
        <v>52</v>
      </c>
      <c r="F9" s="7" t="s">
        <v>77</v>
      </c>
      <c r="G9" s="8" t="s">
        <v>100</v>
      </c>
      <c r="H9" s="7" t="s">
        <v>125</v>
      </c>
      <c r="I9" s="8" t="s">
        <v>145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22</v>
      </c>
      <c r="E10" s="10" t="s">
        <v>53</v>
      </c>
      <c r="F10" s="9" t="s">
        <v>77</v>
      </c>
      <c r="G10" s="10" t="s">
        <v>101</v>
      </c>
      <c r="H10" s="9" t="s">
        <v>123</v>
      </c>
      <c r="I10" s="10" t="s">
        <v>146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2</v>
      </c>
      <c r="D11" s="7" t="s">
        <v>23</v>
      </c>
      <c r="E11" s="8" t="s">
        <v>54</v>
      </c>
      <c r="F11" s="7" t="s">
        <v>77</v>
      </c>
      <c r="G11" s="8" t="s">
        <v>102</v>
      </c>
      <c r="H11" s="7" t="s">
        <v>122</v>
      </c>
      <c r="I11" s="8" t="s">
        <v>147</v>
      </c>
      <c r="J11" s="7">
        <v>1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2</v>
      </c>
      <c r="D12" s="9" t="s">
        <v>24</v>
      </c>
      <c r="E12" s="10" t="s">
        <v>55</v>
      </c>
      <c r="F12" s="9" t="s">
        <v>78</v>
      </c>
      <c r="G12" s="10" t="s">
        <v>103</v>
      </c>
      <c r="H12" s="9" t="s">
        <v>122</v>
      </c>
      <c r="I12" s="10" t="s">
        <v>148</v>
      </c>
      <c r="J12" s="9">
        <v>1</v>
      </c>
      <c r="K12" s="9"/>
    </row>
    <row r="13" spans="1:11" ht="36.75" thickBot="1" x14ac:dyDescent="0.3">
      <c r="A13" s="1"/>
      <c r="B13" s="11">
        <f>ROW(B13) - ROW($B$2)</f>
        <v>11</v>
      </c>
      <c r="C13" s="13" t="s">
        <v>2</v>
      </c>
      <c r="D13" s="7" t="s">
        <v>25</v>
      </c>
      <c r="E13" s="8" t="s">
        <v>56</v>
      </c>
      <c r="F13" s="7" t="s">
        <v>78</v>
      </c>
      <c r="G13" s="8" t="s">
        <v>104</v>
      </c>
      <c r="H13" s="7" t="s">
        <v>126</v>
      </c>
      <c r="I13" s="8" t="s">
        <v>149</v>
      </c>
      <c r="J13" s="7">
        <v>1</v>
      </c>
      <c r="K13" s="7"/>
    </row>
    <row r="14" spans="1:11" ht="36.75" thickBot="1" x14ac:dyDescent="0.3">
      <c r="A14" s="1"/>
      <c r="B14" s="11">
        <f t="shared" si="0"/>
        <v>12</v>
      </c>
      <c r="C14" s="13" t="s">
        <v>3</v>
      </c>
      <c r="D14" s="9" t="s">
        <v>26</v>
      </c>
      <c r="E14" s="10" t="s">
        <v>57</v>
      </c>
      <c r="F14" s="9" t="s">
        <v>80</v>
      </c>
      <c r="G14" s="10" t="s">
        <v>105</v>
      </c>
      <c r="H14" s="9" t="s">
        <v>127</v>
      </c>
      <c r="I14" s="8" t="s">
        <v>158</v>
      </c>
      <c r="J14" s="9">
        <v>1</v>
      </c>
      <c r="K14" s="9"/>
    </row>
    <row r="15" spans="1:11" ht="36.75" thickBot="1" x14ac:dyDescent="0.3">
      <c r="A15" s="1"/>
      <c r="B15" s="11">
        <f>ROW(B15) - ROW($B$2)</f>
        <v>13</v>
      </c>
      <c r="C15" s="12" t="s">
        <v>3</v>
      </c>
      <c r="D15" s="7" t="s">
        <v>27</v>
      </c>
      <c r="E15" s="8" t="s">
        <v>58</v>
      </c>
      <c r="F15" s="7" t="s">
        <v>81</v>
      </c>
      <c r="G15" s="8" t="s">
        <v>106</v>
      </c>
      <c r="H15" s="7" t="s">
        <v>128</v>
      </c>
      <c r="I15" s="8" t="s">
        <v>158</v>
      </c>
      <c r="J15" s="7">
        <v>1</v>
      </c>
      <c r="K15" s="7"/>
    </row>
    <row r="16" spans="1:11" ht="15.75" thickBot="1" x14ac:dyDescent="0.3">
      <c r="A16" s="1"/>
      <c r="B16" s="11">
        <f t="shared" si="0"/>
        <v>14</v>
      </c>
      <c r="C16" s="12" t="s">
        <v>4</v>
      </c>
      <c r="D16" s="14" t="s">
        <v>28</v>
      </c>
      <c r="E16" s="15" t="s">
        <v>158</v>
      </c>
      <c r="F16" s="14" t="s">
        <v>159</v>
      </c>
      <c r="G16" s="15" t="s">
        <v>158</v>
      </c>
      <c r="H16" s="14" t="s">
        <v>158</v>
      </c>
      <c r="I16" s="15" t="s">
        <v>140</v>
      </c>
      <c r="J16" s="14">
        <v>1</v>
      </c>
      <c r="K16" s="16" t="s">
        <v>160</v>
      </c>
    </row>
    <row r="17" spans="1:11" ht="24.75" thickBot="1" x14ac:dyDescent="0.3">
      <c r="A17" s="1"/>
      <c r="B17" s="11">
        <f>ROW(B17) - ROW($B$2)</f>
        <v>15</v>
      </c>
      <c r="C17" s="12" t="s">
        <v>4</v>
      </c>
      <c r="D17" s="7" t="s">
        <v>29</v>
      </c>
      <c r="E17" s="8" t="s">
        <v>59</v>
      </c>
      <c r="F17" s="7" t="s">
        <v>159</v>
      </c>
      <c r="G17" s="8" t="s">
        <v>82</v>
      </c>
      <c r="H17" s="7" t="s">
        <v>129</v>
      </c>
      <c r="I17" s="8" t="s">
        <v>158</v>
      </c>
      <c r="J17" s="7">
        <v>1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5</v>
      </c>
      <c r="D18" s="9" t="s">
        <v>30</v>
      </c>
      <c r="E18" s="10" t="s">
        <v>60</v>
      </c>
      <c r="F18" s="9" t="s">
        <v>83</v>
      </c>
      <c r="G18" s="10" t="s">
        <v>107</v>
      </c>
      <c r="H18" s="9" t="s">
        <v>123</v>
      </c>
      <c r="I18" s="10" t="s">
        <v>150</v>
      </c>
      <c r="J18" s="9">
        <v>2</v>
      </c>
      <c r="K18" s="9"/>
    </row>
    <row r="19" spans="1:11" ht="24.75" thickBot="1" x14ac:dyDescent="0.3">
      <c r="A19" s="1"/>
      <c r="B19" s="11">
        <f>ROW(B19) - ROW($B$2)</f>
        <v>17</v>
      </c>
      <c r="C19" s="12" t="s">
        <v>6</v>
      </c>
      <c r="D19" s="18" t="s">
        <v>31</v>
      </c>
      <c r="E19" s="19" t="s">
        <v>61</v>
      </c>
      <c r="F19" s="18" t="s">
        <v>83</v>
      </c>
      <c r="G19" s="19" t="s">
        <v>108</v>
      </c>
      <c r="H19" s="18" t="s">
        <v>123</v>
      </c>
      <c r="I19" s="19" t="s">
        <v>140</v>
      </c>
      <c r="J19" s="18">
        <v>1</v>
      </c>
      <c r="K19" s="16" t="s">
        <v>160</v>
      </c>
    </row>
    <row r="20" spans="1:11" ht="48.75" thickBot="1" x14ac:dyDescent="0.3">
      <c r="A20" s="1"/>
      <c r="B20" s="11">
        <f t="shared" si="0"/>
        <v>18</v>
      </c>
      <c r="C20" s="13" t="s">
        <v>7</v>
      </c>
      <c r="D20" s="9" t="s">
        <v>32</v>
      </c>
      <c r="E20" s="10" t="s">
        <v>62</v>
      </c>
      <c r="F20" s="9" t="s">
        <v>84</v>
      </c>
      <c r="G20" s="10" t="s">
        <v>109</v>
      </c>
      <c r="H20" s="9" t="s">
        <v>130</v>
      </c>
      <c r="I20" s="8" t="s">
        <v>158</v>
      </c>
      <c r="J20" s="9">
        <v>1</v>
      </c>
      <c r="K20" s="9"/>
    </row>
    <row r="21" spans="1:11" ht="24.75" thickBot="1" x14ac:dyDescent="0.3">
      <c r="A21" s="1"/>
      <c r="B21" s="11">
        <f>ROW(B21) - ROW($B$2)</f>
        <v>19</v>
      </c>
      <c r="C21" s="12" t="s">
        <v>8</v>
      </c>
      <c r="D21" s="7" t="s">
        <v>33</v>
      </c>
      <c r="E21" s="8" t="s">
        <v>63</v>
      </c>
      <c r="F21" s="7" t="s">
        <v>85</v>
      </c>
      <c r="G21" s="8" t="s">
        <v>110</v>
      </c>
      <c r="H21" s="7" t="s">
        <v>131</v>
      </c>
      <c r="I21" s="8" t="s">
        <v>158</v>
      </c>
      <c r="J21" s="7">
        <v>1</v>
      </c>
      <c r="K21" s="7"/>
    </row>
    <row r="22" spans="1:11" ht="15.75" thickBot="1" x14ac:dyDescent="0.3">
      <c r="A22" s="1"/>
      <c r="B22" s="11">
        <f t="shared" si="0"/>
        <v>20</v>
      </c>
      <c r="C22" s="13" t="s">
        <v>8</v>
      </c>
      <c r="D22" s="9" t="s">
        <v>34</v>
      </c>
      <c r="E22" s="10" t="s">
        <v>64</v>
      </c>
      <c r="F22" s="9" t="s">
        <v>85</v>
      </c>
      <c r="G22" s="10" t="s">
        <v>111</v>
      </c>
      <c r="H22" s="9" t="s">
        <v>132</v>
      </c>
      <c r="I22" s="8" t="s">
        <v>158</v>
      </c>
      <c r="J22" s="9">
        <v>1</v>
      </c>
      <c r="K22" s="9"/>
    </row>
    <row r="23" spans="1:11" ht="36.75" thickBot="1" x14ac:dyDescent="0.3">
      <c r="A23" s="1"/>
      <c r="B23" s="11">
        <f>ROW(B23) - ROW($B$2)</f>
        <v>21</v>
      </c>
      <c r="C23" s="12" t="s">
        <v>9</v>
      </c>
      <c r="D23" s="7" t="s">
        <v>35</v>
      </c>
      <c r="E23" s="8" t="s">
        <v>65</v>
      </c>
      <c r="F23" s="7" t="s">
        <v>86</v>
      </c>
      <c r="G23" s="8" t="s">
        <v>112</v>
      </c>
      <c r="H23" s="7" t="s">
        <v>133</v>
      </c>
      <c r="I23" s="8" t="s">
        <v>151</v>
      </c>
      <c r="J23" s="7">
        <v>1</v>
      </c>
      <c r="K23" s="7"/>
    </row>
    <row r="24" spans="1:11" ht="36.75" thickBot="1" x14ac:dyDescent="0.3">
      <c r="A24" s="1"/>
      <c r="B24" s="11">
        <f t="shared" si="0"/>
        <v>22</v>
      </c>
      <c r="C24" s="13" t="s">
        <v>9</v>
      </c>
      <c r="D24" s="9" t="s">
        <v>36</v>
      </c>
      <c r="E24" s="10" t="s">
        <v>66</v>
      </c>
      <c r="F24" s="9" t="s">
        <v>86</v>
      </c>
      <c r="G24" s="10" t="s">
        <v>165</v>
      </c>
      <c r="H24" s="9" t="s">
        <v>134</v>
      </c>
      <c r="I24" s="10" t="s">
        <v>152</v>
      </c>
      <c r="J24" s="9">
        <v>1</v>
      </c>
      <c r="K24" s="9"/>
    </row>
    <row r="25" spans="1:11" ht="15.75" thickBot="1" x14ac:dyDescent="0.3">
      <c r="A25" s="1"/>
      <c r="B25" s="11">
        <f>ROW(B25) - ROW($B$2)</f>
        <v>23</v>
      </c>
      <c r="C25" s="12" t="s">
        <v>9</v>
      </c>
      <c r="D25" s="7" t="s">
        <v>37</v>
      </c>
      <c r="E25" s="8" t="s">
        <v>67</v>
      </c>
      <c r="F25" s="7" t="s">
        <v>87</v>
      </c>
      <c r="G25" s="8" t="s">
        <v>113</v>
      </c>
      <c r="H25" s="7" t="s">
        <v>122</v>
      </c>
      <c r="I25" s="8" t="s">
        <v>153</v>
      </c>
      <c r="J25" s="7">
        <v>4</v>
      </c>
      <c r="K25" s="7"/>
    </row>
    <row r="26" spans="1:11" ht="15.75" thickBot="1" x14ac:dyDescent="0.3">
      <c r="A26" s="1"/>
      <c r="B26" s="11">
        <f t="shared" si="0"/>
        <v>24</v>
      </c>
      <c r="C26" s="13" t="s">
        <v>9</v>
      </c>
      <c r="D26" s="9" t="s">
        <v>38</v>
      </c>
      <c r="E26" s="10" t="s">
        <v>68</v>
      </c>
      <c r="F26" s="9" t="s">
        <v>87</v>
      </c>
      <c r="G26" s="10" t="s">
        <v>114</v>
      </c>
      <c r="H26" s="9" t="s">
        <v>122</v>
      </c>
      <c r="I26" s="10" t="s">
        <v>154</v>
      </c>
      <c r="J26" s="9">
        <v>2</v>
      </c>
      <c r="K26" s="9"/>
    </row>
    <row r="27" spans="1:11" ht="15.75" thickBot="1" x14ac:dyDescent="0.3">
      <c r="A27" s="1"/>
      <c r="B27" s="11">
        <f>ROW(B27) - ROW($B$2)</f>
        <v>25</v>
      </c>
      <c r="C27" s="13" t="s">
        <v>9</v>
      </c>
      <c r="D27" s="7" t="s">
        <v>39</v>
      </c>
      <c r="E27" s="8" t="s">
        <v>69</v>
      </c>
      <c r="F27" s="7" t="s">
        <v>86</v>
      </c>
      <c r="G27" s="8" t="s">
        <v>115</v>
      </c>
      <c r="H27" s="7" t="s">
        <v>122</v>
      </c>
      <c r="I27" s="8" t="s">
        <v>155</v>
      </c>
      <c r="J27" s="7">
        <v>1</v>
      </c>
      <c r="K27" s="7"/>
    </row>
    <row r="28" spans="1:11" ht="48.75" thickBot="1" x14ac:dyDescent="0.3">
      <c r="A28" s="1"/>
      <c r="B28" s="11">
        <f t="shared" si="0"/>
        <v>26</v>
      </c>
      <c r="C28" s="13" t="s">
        <v>10</v>
      </c>
      <c r="D28" s="9" t="s">
        <v>40</v>
      </c>
      <c r="E28" s="10" t="s">
        <v>70</v>
      </c>
      <c r="F28" s="9" t="s">
        <v>159</v>
      </c>
      <c r="G28" s="10" t="s">
        <v>88</v>
      </c>
      <c r="H28" s="9" t="s">
        <v>135</v>
      </c>
      <c r="I28" s="8" t="s">
        <v>158</v>
      </c>
      <c r="J28" s="9">
        <v>1</v>
      </c>
      <c r="K28" s="9"/>
    </row>
    <row r="29" spans="1:11" ht="15.75" thickBot="1" x14ac:dyDescent="0.3">
      <c r="A29" s="1"/>
      <c r="B29" s="11">
        <f>ROW(B29) - ROW($B$2)</f>
        <v>27</v>
      </c>
      <c r="C29" s="12" t="s">
        <v>11</v>
      </c>
      <c r="D29" s="7" t="s">
        <v>41</v>
      </c>
      <c r="E29" s="8" t="s">
        <v>71</v>
      </c>
      <c r="F29" s="7" t="s">
        <v>89</v>
      </c>
      <c r="G29" s="8" t="s">
        <v>116</v>
      </c>
      <c r="H29" s="7" t="s">
        <v>136</v>
      </c>
      <c r="I29" s="8" t="s">
        <v>158</v>
      </c>
      <c r="J29" s="7">
        <v>1</v>
      </c>
      <c r="K29" s="7"/>
    </row>
    <row r="30" spans="1:11" ht="15.75" thickBot="1" x14ac:dyDescent="0.3">
      <c r="A30" s="1"/>
      <c r="B30" s="11">
        <f t="shared" si="0"/>
        <v>28</v>
      </c>
      <c r="C30" s="13" t="s">
        <v>11</v>
      </c>
      <c r="D30" s="9" t="s">
        <v>42</v>
      </c>
      <c r="E30" s="10" t="s">
        <v>72</v>
      </c>
      <c r="F30" s="9" t="s">
        <v>90</v>
      </c>
      <c r="G30" s="10" t="s">
        <v>117</v>
      </c>
      <c r="H30" s="9" t="s">
        <v>137</v>
      </c>
      <c r="I30" s="8" t="s">
        <v>158</v>
      </c>
      <c r="J30" s="9">
        <v>1</v>
      </c>
      <c r="K30" s="9"/>
    </row>
    <row r="31" spans="1:11" ht="36.75" thickBot="1" x14ac:dyDescent="0.3">
      <c r="A31" s="1"/>
      <c r="B31" s="11">
        <f>ROW(B31) - ROW($B$2)</f>
        <v>29</v>
      </c>
      <c r="C31" s="17" t="s">
        <v>12</v>
      </c>
      <c r="D31" s="18" t="s">
        <v>43</v>
      </c>
      <c r="E31" s="19" t="s">
        <v>73</v>
      </c>
      <c r="F31" s="18" t="s">
        <v>91</v>
      </c>
      <c r="G31" s="19" t="s">
        <v>118</v>
      </c>
      <c r="H31" s="18" t="s">
        <v>138</v>
      </c>
      <c r="I31" s="19" t="s">
        <v>140</v>
      </c>
      <c r="J31" s="18">
        <v>1</v>
      </c>
      <c r="K31" s="16" t="s">
        <v>160</v>
      </c>
    </row>
    <row r="32" spans="1:11" ht="36.75" thickBot="1" x14ac:dyDescent="0.3">
      <c r="A32" s="1"/>
      <c r="B32" s="11">
        <f t="shared" si="0"/>
        <v>30</v>
      </c>
      <c r="C32" s="13" t="s">
        <v>13</v>
      </c>
      <c r="D32" s="9" t="s">
        <v>44</v>
      </c>
      <c r="E32" s="10" t="s">
        <v>74</v>
      </c>
      <c r="F32" s="9" t="s">
        <v>92</v>
      </c>
      <c r="G32" s="10" t="s">
        <v>119</v>
      </c>
      <c r="H32" s="9" t="s">
        <v>139</v>
      </c>
      <c r="I32" s="8" t="s">
        <v>158</v>
      </c>
      <c r="J32" s="9">
        <v>1</v>
      </c>
      <c r="K32" s="9"/>
    </row>
    <row r="33" spans="2:11" ht="36.75" thickBot="1" x14ac:dyDescent="0.3">
      <c r="B33" s="11">
        <f t="shared" si="0"/>
        <v>31</v>
      </c>
      <c r="C33" s="13" t="s">
        <v>157</v>
      </c>
      <c r="D33" s="9" t="s">
        <v>158</v>
      </c>
      <c r="E33" s="10" t="s">
        <v>169</v>
      </c>
      <c r="F33" s="9" t="s">
        <v>159</v>
      </c>
      <c r="G33" s="10" t="s">
        <v>168</v>
      </c>
      <c r="H33" s="9" t="s">
        <v>161</v>
      </c>
      <c r="I33" s="10" t="s">
        <v>158</v>
      </c>
      <c r="J33" s="9">
        <v>1</v>
      </c>
      <c r="K33" s="23" t="s">
        <v>170</v>
      </c>
    </row>
    <row r="34" spans="2:11" ht="15.75" thickBot="1" x14ac:dyDescent="0.3">
      <c r="B34" s="11">
        <f t="shared" si="0"/>
        <v>32</v>
      </c>
      <c r="C34" s="13" t="s">
        <v>157</v>
      </c>
      <c r="D34" s="9" t="s">
        <v>158</v>
      </c>
      <c r="E34" s="21" t="s">
        <v>167</v>
      </c>
      <c r="F34" s="9" t="s">
        <v>159</v>
      </c>
      <c r="G34" s="10" t="s">
        <v>166</v>
      </c>
      <c r="H34" s="9" t="s">
        <v>158</v>
      </c>
      <c r="I34" s="10" t="s">
        <v>158</v>
      </c>
      <c r="J34" s="9">
        <v>1</v>
      </c>
      <c r="K34" s="23" t="s">
        <v>171</v>
      </c>
    </row>
  </sheetData>
  <mergeCells count="1">
    <mergeCell ref="I1:K1"/>
  </mergeCells>
  <hyperlinks>
    <hyperlink ref="K33" r:id="rId1"/>
    <hyperlink ref="K34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2025-04-07T11:37:49Z</dcterms:modified>
</cp:coreProperties>
</file>